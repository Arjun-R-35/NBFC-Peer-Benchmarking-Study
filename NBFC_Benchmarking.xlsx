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tables/table2.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613"/>
  <workbookPr defaultThemeVersion="166925"/>
  <xr:revisionPtr revIDLastSave="0" documentId="8_{1D05D255-8CDA-40A4-A56D-05057376CA6F}" xr6:coauthVersionLast="47" xr6:coauthVersionMax="47" xr10:uidLastSave="{00000000-0000-0000-0000-000000000000}"/>
  <bookViews>
    <workbookView xWindow="240" yWindow="105" windowWidth="14805" windowHeight="8010" firstSheet="2" activeTab="2" xr2:uid="{00000000-000D-0000-FFFF-FFFF00000000}"/>
  </bookViews>
  <sheets>
    <sheet name="Raw_data" sheetId="1" r:id="rId1"/>
    <sheet name="Clean_data" sheetId="2" r:id="rId2"/>
    <sheet name="Summary" sheetId="3" r:id="rId3"/>
    <sheet name="chart_data" sheetId="4"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A4" i="3" l="1"/>
  <c r="A2" i="4" s="1"/>
  <c r="A5" i="3"/>
  <c r="A3" i="4" s="1"/>
  <c r="A6" i="3"/>
  <c r="A7" i="3"/>
  <c r="A8" i="3"/>
  <c r="A4" i="4" s="1"/>
  <c r="G5" i="3"/>
  <c r="B3" i="4" s="1"/>
  <c r="G6" i="3"/>
  <c r="G7" i="3"/>
  <c r="G8" i="3"/>
  <c r="B4" i="4" s="1"/>
  <c r="G4" i="3"/>
  <c r="B2" i="4" s="1"/>
  <c r="F4" i="3"/>
  <c r="F5" i="3"/>
  <c r="F6" i="3"/>
  <c r="F7" i="3"/>
  <c r="F8" i="3"/>
  <c r="E4" i="3"/>
  <c r="E5" i="3"/>
  <c r="E6" i="3"/>
  <c r="E7" i="3"/>
  <c r="E8" i="3"/>
  <c r="D4" i="3"/>
  <c r="C5" i="3"/>
  <c r="C6" i="3"/>
  <c r="C7" i="3"/>
  <c r="C8" i="3"/>
  <c r="C4" i="3"/>
  <c r="D5" i="3"/>
  <c r="D6" i="3"/>
  <c r="D7" i="3"/>
  <c r="B5" i="3"/>
  <c r="B6" i="3"/>
  <c r="B7" i="3"/>
  <c r="B8" i="3"/>
  <c r="B4" i="3"/>
  <c r="K7" i="3" l="1"/>
</calcChain>
</file>

<file path=xl/sharedStrings.xml><?xml version="1.0" encoding="utf-8"?>
<sst xmlns="http://schemas.openxmlformats.org/spreadsheetml/2006/main" count="81" uniqueCount="56">
  <si>
    <t>Company</t>
  </si>
  <si>
    <t>Quarter</t>
  </si>
  <si>
    <t>GNPA %</t>
  </si>
  <si>
    <t>NNPA %</t>
  </si>
  <si>
    <t>CRAR %</t>
  </si>
  <si>
    <t>AUM Growth %</t>
  </si>
  <si>
    <t>ROA %</t>
  </si>
  <si>
    <t>Cost of Funds %</t>
  </si>
  <si>
    <t>Source</t>
  </si>
  <si>
    <t>Bajaj Finance</t>
  </si>
  <si>
    <t>Q1 FY27</t>
  </si>
  <si>
    <t>Bajaj Finance Q1 FY27 Investor Presentation -- (GNPA: p. [8]; NNPA: p. [8]; CRAR: p. [8]; AUM growth: p. [5]; ROA: p. [8]; Cost Of Funds: p. [43])</t>
  </si>
  <si>
    <t>Cholamandalam Finance</t>
  </si>
  <si>
    <t>Cholamandalam Investment and Finance Q1 FY27 Investor Presentation -- (GNPA: p. [7]; NNPA: p. [7]; CRAR: p. [7]; AUM growth: p. [7]; ROA: p. [15]; Cost Of Funds: p. [18])</t>
  </si>
  <si>
    <t>Shriram Finance</t>
  </si>
  <si>
    <r>
      <rPr>
        <sz val="11"/>
        <color rgb="FF000000"/>
        <rFont val="Calibri"/>
        <scheme val="minor"/>
      </rPr>
      <t xml:space="preserve">Shriram Finance Q1 FY27 Investor Presentation -- (Gross Stage 3: p. [42]; Net Stage 3: p. [42]; CRAR: p. [55]; AUM growth: p. [39]; ROA: p. [55]; </t>
    </r>
    <r>
      <rPr>
        <b/>
        <sz val="11"/>
        <color rgb="FF000000"/>
        <rFont val="Calibri"/>
        <scheme val="minor"/>
      </rPr>
      <t>Cost of funds not located in Q1 FY27 investor presentation</t>
    </r>
    <r>
      <rPr>
        <sz val="11"/>
        <color rgb="FF000000"/>
        <rFont val="Calibri"/>
        <scheme val="minor"/>
      </rPr>
      <t>)</t>
    </r>
  </si>
  <si>
    <t>Muthoot Finance</t>
  </si>
  <si>
    <r>
      <rPr>
        <sz val="11"/>
        <color rgb="FF000000"/>
        <rFont val="Calibri"/>
        <scheme val="minor"/>
      </rPr>
      <t xml:space="preserve">Muthoot Finance Q1 FY27 Investor Presentation -- (Stage III Assets as % of Loan Assets: 2.28% (p. [31]); </t>
    </r>
    <r>
      <rPr>
        <b/>
        <sz val="11"/>
        <color rgb="FF000000"/>
        <rFont val="Calibri"/>
        <scheme val="minor"/>
      </rPr>
      <t>NNPA not located</t>
    </r>
    <r>
      <rPr>
        <sz val="11"/>
        <color rgb="FF000000"/>
        <rFont val="Calibri"/>
        <scheme val="minor"/>
      </rPr>
      <t xml:space="preserve">;  CRAR: 20.3% (p. [8]); Consolidated Loan (AUM) YoY Growth: 43% (p. [5]); </t>
    </r>
    <r>
      <rPr>
        <b/>
        <sz val="11"/>
        <color rgb="FF000000"/>
        <rFont val="Calibri"/>
        <scheme val="minor"/>
      </rPr>
      <t>ROA not directly comparable</t>
    </r>
    <r>
      <rPr>
        <sz val="11"/>
        <color rgb="FF000000"/>
        <rFont val="Calibri"/>
        <scheme val="minor"/>
      </rPr>
      <t xml:space="preserve">; Return on Average Loan Assets: 6.09% </t>
    </r>
    <r>
      <rPr>
        <b/>
        <sz val="11"/>
        <color rgb="FF000000"/>
        <rFont val="Calibri"/>
        <scheme val="minor"/>
      </rPr>
      <t>quarterly</t>
    </r>
    <r>
      <rPr>
        <sz val="11"/>
        <color rgb="FF000000"/>
        <rFont val="Calibri"/>
        <scheme val="minor"/>
      </rPr>
      <t xml:space="preserve"> (p. [40]). </t>
    </r>
    <r>
      <rPr>
        <b/>
        <sz val="11"/>
        <color rgb="FF000000"/>
        <rFont val="Calibri"/>
        <scheme val="minor"/>
      </rPr>
      <t>Cost of funds not identified in Q1FY27 investor presentation</t>
    </r>
    <r>
      <rPr>
        <sz val="11"/>
        <color rgb="FF000000"/>
        <rFont val="Calibri"/>
        <scheme val="minor"/>
      </rPr>
      <t>)</t>
    </r>
  </si>
  <si>
    <t>Five-Star Business Finance</t>
  </si>
  <si>
    <r>
      <rPr>
        <sz val="11"/>
        <color rgb="FF000000"/>
        <rFont val="Calibri"/>
        <scheme val="minor"/>
      </rPr>
      <t>Five-Star Business Finance Q1 FY27 Investor Presentation -- (Gross NPA: 3.46% (p. [28]); Net NPA: 2.10% (p. [28]); AUM growth: 4% quarterly (p. [5]); Cost of Funds on the book: 8.80% in Q1 FY27, down from 8.95% in Q4 FY26 (p. [5]); C</t>
    </r>
    <r>
      <rPr>
        <b/>
        <sz val="11"/>
        <color rgb="FF000000"/>
        <rFont val="Calibri"/>
        <scheme val="minor"/>
      </rPr>
      <t>RAR not located in Q1 FY27 presentation</t>
    </r>
    <r>
      <rPr>
        <sz val="11"/>
        <color rgb="FF000000"/>
        <rFont val="Calibri"/>
        <scheme val="minor"/>
      </rPr>
      <t xml:space="preserve">; Return on Average AUM: 8.11% (p. [4], </t>
    </r>
    <r>
      <rPr>
        <b/>
        <sz val="11"/>
        <color rgb="FF000000"/>
        <rFont val="Calibri"/>
        <scheme val="minor"/>
      </rPr>
      <t>not directly comparable to ROA</t>
    </r>
    <r>
      <rPr>
        <sz val="11"/>
        <color rgb="FF000000"/>
        <rFont val="Calibri"/>
        <scheme val="minor"/>
      </rPr>
      <t>)</t>
    </r>
  </si>
  <si>
    <t>Data Quality Notes</t>
  </si>
  <si>
    <t>GNPA/NNPA definitions may differ across companies; verify comparability before ranking</t>
  </si>
  <si>
    <t>Cholamandalam AUM growth is business AUM growth; retain the source label</t>
  </si>
  <si>
    <t>Stage 3 metrics used as proxies for GNPA/NNPA; AUM growth is YoY; cost of funds unavailable</t>
  </si>
  <si>
    <t>Stage III assets ratio used as a GNPA proxy; NNPA, standard ROA and cost of funds unavailable</t>
  </si>
  <si>
    <t>AUM growth is quarterly, not YoY; Return on Average AUM is not directly comparable to ROA; CRAR unavailable</t>
  </si>
  <si>
    <t>NBFC Peer Benchmarking Study</t>
  </si>
  <si>
    <t>GNPA / Stage 3 (%)</t>
  </si>
  <si>
    <t>NNPA / Net Stage 3 (%)</t>
  </si>
  <si>
    <t>CRAR (%)</t>
  </si>
  <si>
    <t>AUM Growth (%)</t>
  </si>
  <si>
    <t>ROA (%)</t>
  </si>
  <si>
    <t>Cost of Funds (%)</t>
  </si>
  <si>
    <r>
      <rPr>
        <b/>
        <sz val="11"/>
        <color rgb="FF000000"/>
        <rFont val="Calibri"/>
        <scheme val="minor"/>
      </rPr>
      <t xml:space="preserve">Interpretation note: </t>
    </r>
    <r>
      <rPr>
        <sz val="11"/>
        <color rgb="FF000000"/>
        <rFont val="Calibri"/>
        <scheme val="minor"/>
      </rPr>
      <t>Metrics may use different definitions and reporting periods across companies. Shriram Finance Stage 3 figures and Muthoot Finance Stage III assets are not strictly equivalent to GNPA/NNPA. Five-Star AUM growth is quarterly, while other companies may report YoY% growth. Blank cells indicate unavailable or non-comparable metrics, not zero.</t>
    </r>
  </si>
  <si>
    <r>
      <rPr>
        <b/>
        <i/>
        <sz val="11"/>
        <color rgb="FF000000"/>
        <rFont val="Calibri"/>
        <scheme val="minor"/>
      </rPr>
      <t xml:space="preserve">Note: </t>
    </r>
    <r>
      <rPr>
        <i/>
        <sz val="11"/>
        <color rgb="FF000000"/>
        <rFont val="Calibri"/>
        <scheme val="minor"/>
      </rPr>
      <t>CRAR was unavailable in the investor presentations reviewed for Fiva-Star Business Finance. The chart includes only companies with available figures.</t>
    </r>
  </si>
  <si>
    <r>
      <rPr>
        <b/>
        <i/>
        <sz val="11"/>
        <color rgb="FF000000"/>
        <rFont val="Calibri"/>
        <scheme val="minor"/>
      </rPr>
      <t>Note:</t>
    </r>
    <r>
      <rPr>
        <i/>
        <sz val="11"/>
        <color rgb="FF000000"/>
        <rFont val="Calibri"/>
        <scheme val="minor"/>
      </rPr>
      <t xml:space="preserve"> Cost of funds was unavailable in the investor presentations reviewed for Shriram Finance and Muthoot Finance. The chart includes only companies with available figures.</t>
    </r>
  </si>
  <si>
    <t>Key Findings:</t>
  </si>
  <si>
    <t>Asset Quality</t>
  </si>
  <si>
    <t>Bajaj Finance reports GNPA of 0.96% and NNPA of 0.39%, indicating relatively low reported stressed assets in this peer set. However, direct comparison is limited because some peers report Stage 3 or Stage III asset measures with potentially different definitions.</t>
  </si>
  <si>
    <t>Capital Adequacy</t>
  </si>
  <si>
    <t>Shriram Finance reports CRAR of 34.17%, compared with 20.90% for Bajaj Finance and 20.30% for Muthoot Finance. Five-Star Business Finance's Q1 FY27 CRAR was not located in the presentation reviewed, so a complete five-company comparison is not possible.</t>
  </si>
  <si>
    <t>Growth</t>
  </si>
  <si>
    <t>Muthoot Finance reports 43% year-on-year loan (AUM) growth, the highest reported growth figure in this peer set. Bajaj Finance reports 24% AUM growth and Cholamandalam Finance reports 22% business AUM growth. Shriram Finance reports 15.26% year-on-year growth, while Five-Star Business Finance reports 4% quarterly growth. Five-Star's quarterly figure is not directly comparable with the year-on-year figures.</t>
  </si>
  <si>
    <t>Funding Cost</t>
  </si>
  <si>
    <t>Bajaj Finance reports a cost of funds of 7.40%, Cholamandalam Finance reports cost of funds of 6.70%, while Five-Star Business Finance reports 8.80% on the book for Q1 FY27. These figures suggest different reported funding costs, but the comparison should be interpreted cautiously because reporting definitions may differ. Cost-of-funds figures for Shriram Finance and Muthoot Finance were not located in the presentations reviewed.</t>
  </si>
  <si>
    <t>Conclusion:</t>
  </si>
  <si>
    <t>This peer benchmarking study compares five Indian NBFCs using reported asset quality, capital adequacy, AUM growth, return on assets, and cost of funds indicators for Q1 FY27. The reported figures show differences in growth, asset quality, and funding costs, but the companies cannot be ranked reliably on a single overall basis because of differences in metric definitions, reporting periods, and data availability. Further validation using standardized disclosures would improve comparability and support a more robust credit assessment.</t>
  </si>
  <si>
    <t>Source &amp; Methodology:</t>
  </si>
  <si>
    <t>Company investor presentations for Q1 FY27; page references are recorded in the Raw_Data sheet.</t>
  </si>
  <si>
    <t>Method</t>
  </si>
  <si>
    <t>Figures were transcribed from investor presentations and linked to the summary sheet in Excel.</t>
  </si>
  <si>
    <t>Limitations</t>
  </si>
  <si>
    <t>Metric definitions and reporting periods may differ. Missing or non-comparable values were left blank rather than treated as zero.</t>
  </si>
  <si>
    <t>Scope</t>
  </si>
  <si>
    <t>Five Indian NBFCs: Bajaj Finance, Cholamandalam Finance, Shriram Finance, Muthoot Finance, and Five-Star Business Finance.</t>
  </si>
  <si>
    <t>company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</si>
</sst>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font>
      <sz val="11"/>
      <color theme="1"/>
      <name val="Calibri"/>
      <family val="2"/>
      <scheme val="minor"/>
    </font>
    <font>
      <b/>
      <sz val="11"/>
      <color theme="1"/>
      <name val="Calibri"/>
      <family val="2"/>
      <scheme val="minor"/>
    </font>
    <font>
      <sz val="11"/>
      <color rgb="FF000000"/>
      <name val="Calibri"/>
      <scheme val="minor"/>
    </font>
    <font>
      <b/>
      <sz val="11"/>
      <color rgb="FF000000"/>
      <name val="Calibri"/>
      <scheme val="minor"/>
    </font>
    <font>
      <b/>
      <sz val="16"/>
      <color theme="1"/>
      <name val="Calibri"/>
      <family val="2"/>
      <scheme val="minor"/>
    </font>
    <font>
      <sz val="11"/>
      <color rgb="FF242424"/>
      <name val="Calibri"/>
      <scheme val="minor"/>
    </font>
    <font>
      <sz val="16"/>
      <color theme="0"/>
      <name val="Calibri"/>
      <scheme val="minor"/>
    </font>
    <font>
      <b/>
      <i/>
      <sz val="11"/>
      <color rgb="FF000000"/>
      <name val="Calibri"/>
      <scheme val="minor"/>
    </font>
    <font>
      <i/>
      <sz val="11"/>
      <color rgb="FF000000"/>
      <name val="Calibri"/>
      <scheme val="minor"/>
    </font>
    <font>
      <i/>
      <sz val="11"/>
      <color theme="1"/>
      <name val="Calibri"/>
      <family val="2"/>
      <scheme val="minor"/>
    </font>
    <font>
      <b/>
      <sz val="20"/>
      <color theme="0"/>
      <name val="Calibri"/>
      <family val="2"/>
      <scheme val="minor"/>
    </font>
    <font>
      <b/>
      <sz val="14"/>
      <color theme="1"/>
      <name val="Calibri"/>
      <family val="2"/>
      <scheme val="minor"/>
    </font>
    <font>
      <b/>
      <u val="double"/>
      <sz val="14"/>
      <color theme="1"/>
      <name val="Calibri"/>
      <family val="2"/>
      <scheme val="minor"/>
    </font>
    <font>
      <b/>
      <u val="double"/>
      <sz val="14"/>
      <color rgb="FF000000"/>
      <name val="Calibri"/>
      <scheme val="minor"/>
    </font>
    <font>
      <b/>
      <u val="double"/>
      <sz val="13"/>
      <color rgb="FF000000"/>
      <name val="Calibri"/>
      <scheme val="minor"/>
    </font>
  </fonts>
  <fills count="4">
    <fill>
      <patternFill patternType="none"/>
    </fill>
    <fill>
      <patternFill patternType="gray125"/>
    </fill>
    <fill>
      <patternFill patternType="solid">
        <fgColor theme="5" tint="0.79998168889431442"/>
        <bgColor theme="5" tint="0.79998168889431442"/>
      </patternFill>
    </fill>
    <fill>
      <patternFill patternType="solid">
        <fgColor theme="9"/>
        <bgColor indexed="64"/>
      </patternFill>
    </fill>
  </fills>
  <borders count="3">
    <border>
      <left/>
      <right/>
      <top/>
      <bottom/>
      <diagonal/>
    </border>
    <border>
      <left style="thin">
        <color theme="5" tint="0.39997558519241921"/>
      </left>
      <right/>
      <top style="thin">
        <color theme="5" tint="0.39997558519241921"/>
      </top>
      <bottom style="thin">
        <color theme="5" tint="0.39997558519241921"/>
      </bottom>
      <diagonal/>
    </border>
    <border>
      <left/>
      <right/>
      <top style="thin">
        <color theme="5" tint="0.39997558519241921"/>
      </top>
      <bottom style="thin">
        <color theme="5" tint="0.39997558519241921"/>
      </bottom>
      <diagonal/>
    </border>
  </borders>
  <cellStyleXfs count="1">
    <xf numFmtId="0" fontId="0" fillId="0" borderId="0"/>
  </cellStyleXfs>
  <cellXfs count="27">
    <xf numFmtId="0" fontId="0" fillId="0" borderId="0" xfId="0"/>
    <xf numFmtId="0" fontId="1" fillId="0" borderId="0" xfId="0" applyFont="1"/>
    <xf numFmtId="10" fontId="0" fillId="0" borderId="0" xfId="0" applyNumberFormat="1"/>
    <xf numFmtId="0" fontId="2" fillId="0" borderId="0" xfId="0" applyFont="1"/>
    <xf numFmtId="0" fontId="3" fillId="0" borderId="0" xfId="0" applyFont="1"/>
    <xf numFmtId="0" fontId="0" fillId="2" borderId="1" xfId="0" applyFont="1" applyFill="1" applyBorder="1"/>
    <xf numFmtId="0" fontId="0" fillId="2" borderId="2" xfId="0" applyFont="1" applyFill="1" applyBorder="1"/>
    <xf numFmtId="10" fontId="0" fillId="2" borderId="2" xfId="0" applyNumberFormat="1" applyFont="1" applyFill="1" applyBorder="1"/>
    <xf numFmtId="9" fontId="0" fillId="2" borderId="2" xfId="0" applyNumberFormat="1" applyFont="1" applyFill="1" applyBorder="1"/>
    <xf numFmtId="0" fontId="0" fillId="0" borderId="1" xfId="0" applyFont="1" applyBorder="1"/>
    <xf numFmtId="0" fontId="0" fillId="0" borderId="2" xfId="0" applyFont="1" applyBorder="1"/>
    <xf numFmtId="10" fontId="0" fillId="0" borderId="2" xfId="0" applyNumberFormat="1" applyFont="1" applyBorder="1"/>
    <xf numFmtId="9" fontId="0" fillId="0" borderId="2" xfId="0" applyNumberFormat="1" applyFont="1" applyBorder="1"/>
    <xf numFmtId="0" fontId="4" fillId="0" borderId="0" xfId="0" applyFont="1"/>
    <xf numFmtId="10" fontId="5" fillId="0" borderId="0" xfId="0" applyNumberFormat="1" applyFont="1"/>
    <xf numFmtId="0" fontId="6" fillId="0" borderId="0" xfId="0" applyFont="1"/>
    <xf numFmtId="0" fontId="0" fillId="0" borderId="0" xfId="0" applyAlignment="1">
      <alignment wrapText="1"/>
    </xf>
    <xf numFmtId="0" fontId="8" fillId="0" borderId="0" xfId="0" applyFont="1" applyAlignment="1"/>
    <xf numFmtId="0" fontId="11" fillId="0" borderId="0" xfId="0" applyFont="1"/>
    <xf numFmtId="0" fontId="10" fillId="3" borderId="0" xfId="0" applyFont="1" applyFill="1" applyAlignment="1">
      <alignment horizontal="center"/>
    </xf>
    <xf numFmtId="0" fontId="2" fillId="0" borderId="0" xfId="0" applyFont="1" applyAlignment="1">
      <alignment wrapText="1"/>
    </xf>
    <xf numFmtId="0" fontId="8" fillId="0" borderId="0" xfId="0" applyFont="1" applyAlignment="1">
      <alignment wrapText="1"/>
    </xf>
    <xf numFmtId="0" fontId="9" fillId="0" borderId="0" xfId="0" applyFont="1" applyAlignment="1">
      <alignment wrapText="1"/>
    </xf>
    <xf numFmtId="0" fontId="12" fillId="0" borderId="0" xfId="0" applyFont="1"/>
    <xf numFmtId="0" fontId="0" fillId="0" borderId="0" xfId="0" applyAlignment="1">
      <alignment wrapText="1"/>
    </xf>
    <xf numFmtId="0" fontId="13" fillId="0" borderId="0" xfId="0" applyFont="1"/>
    <xf numFmtId="0" fontId="14" fillId="0" borderId="0" xfId="0" applyFont="1"/>
  </cellXfs>
  <cellStyles count="1">
    <cellStyle name="Normal" xfId="0" builtinId="0"/>
  </cellStyles>
  <dxfs count="15">
    <dxf>
      <font>
        <b val="0"/>
        <i val="0"/>
        <strike val="0"/>
        <condense val="0"/>
        <extend val="0"/>
        <outline val="0"/>
        <shadow val="0"/>
        <u val="none"/>
        <vertAlign val="baseline"/>
        <sz val="11"/>
        <color rgb="FF242424"/>
        <name val="Calibri"/>
        <scheme val="minor"/>
      </font>
      <numFmt numFmtId="14" formatCode="0.00%"/>
    </dxf>
    <dxf>
      <font>
        <b val="0"/>
        <i val="0"/>
        <strike val="0"/>
        <condense val="0"/>
        <extend val="0"/>
        <outline val="0"/>
        <shadow val="0"/>
        <u val="none"/>
        <vertAlign val="baseline"/>
        <sz val="11"/>
        <color rgb="FF242424"/>
        <name val="Calibri"/>
        <scheme val="minor"/>
      </font>
      <numFmt numFmtId="14" formatCode="0.00%"/>
    </dxf>
    <dxf>
      <numFmt numFmtId="14" formatCode="0.00%"/>
    </dxf>
    <dxf>
      <numFmt numFmtId="14" formatCode="0.00%"/>
    </dxf>
    <dxf>
      <numFmt numFmtId="14" formatCode="0.00%"/>
    </dxf>
    <dxf>
      <numFmt numFmtId="14" formatCode="0.00%"/>
    </dxf>
    <dxf>
      <font>
        <b/>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rgb="FF000000"/>
        <name val="Calibri"/>
        <scheme val="minor"/>
      </font>
    </dxf>
    <dxf>
      <numFmt numFmtId="14" formatCode="0.00%"/>
    </dxf>
    <dxf>
      <numFmt numFmtId="14" formatCode="0.00%"/>
    </dxf>
    <dxf>
      <numFmt numFmtId="14" formatCode="0.00%"/>
    </dxf>
    <dxf>
      <numFmt numFmtId="14" formatCode="0.00%"/>
    </dxf>
    <dxf>
      <numFmt numFmtId="14" formatCode="0.00%"/>
    </dxf>
    <dxf>
      <numFmt numFmtId="14" formatCode="0.00%"/>
    </dxf>
    <dxf>
      <font>
        <b/>
        <i val="0"/>
        <strike val="0"/>
        <condense val="0"/>
        <extend val="0"/>
        <outline val="0"/>
        <shadow val="0"/>
        <u val="none"/>
        <vertAlign val="baseline"/>
        <sz val="11"/>
        <color theme="1"/>
        <name val="Calibri"/>
        <family val="2"/>
        <scheme val="minor"/>
      </font>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Reported GNPA / Stage 3  - Q1 FY27</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Summary!$B$3</c:f>
              <c:strCache>
                <c:ptCount val="1"/>
                <c:pt idx="0">
                  <c:v>GNPA / Stage 3 (%)</c:v>
                </c:pt>
              </c:strCache>
            </c:strRef>
          </c:tx>
          <c:spPr>
            <a:solidFill>
              <a:schemeClr val="accent1"/>
            </a:solidFill>
            <a:ln>
              <a:noFill/>
            </a:ln>
            <a:effectLst/>
          </c:spPr>
          <c:invertIfNegative val="0"/>
          <c:cat>
            <c:strRef>
              <c:f>Summary!$A$4:$A$8</c:f>
              <c:strCache>
                <c:ptCount val="5"/>
                <c:pt idx="0">
                  <c:v>Bajaj Finance</c:v>
                </c:pt>
                <c:pt idx="1">
                  <c:v>Cholamandalam Finance</c:v>
                </c:pt>
                <c:pt idx="2">
                  <c:v>Shriram Finance</c:v>
                </c:pt>
                <c:pt idx="3">
                  <c:v>Muthoot Finance</c:v>
                </c:pt>
                <c:pt idx="4">
                  <c:v>Five-Star Business Finance</c:v>
                </c:pt>
              </c:strCache>
            </c:strRef>
          </c:cat>
          <c:val>
            <c:numRef>
              <c:f>Summary!$B$4:$B$8</c:f>
              <c:numCache>
                <c:formatCode>0.00%</c:formatCode>
                <c:ptCount val="5"/>
                <c:pt idx="0">
                  <c:v>9.5999999999999992E-3</c:v>
                </c:pt>
                <c:pt idx="1">
                  <c:v>4.4999999999999998E-2</c:v>
                </c:pt>
                <c:pt idx="2">
                  <c:v>4.6399999999999997E-2</c:v>
                </c:pt>
                <c:pt idx="3">
                  <c:v>2.2800000000000001E-2</c:v>
                </c:pt>
                <c:pt idx="4">
                  <c:v>3.4599999999999999E-2</c:v>
                </c:pt>
              </c:numCache>
            </c:numRef>
          </c:val>
          <c:extLst>
            <c:ext xmlns:c16="http://schemas.microsoft.com/office/drawing/2014/chart" uri="{C3380CC4-5D6E-409C-BE32-E72D297353CC}">
              <c16:uniqueId val="{00000000-CDB1-4913-A014-116C7B533E58}"/>
            </c:ext>
          </c:extLst>
        </c:ser>
        <c:dLbls>
          <c:showLegendKey val="0"/>
          <c:showVal val="0"/>
          <c:showCatName val="0"/>
          <c:showSerName val="0"/>
          <c:showPercent val="0"/>
          <c:showBubbleSize val="0"/>
        </c:dLbls>
        <c:gapWidth val="219"/>
        <c:overlap val="-27"/>
        <c:axId val="1522061832"/>
        <c:axId val="1522063880"/>
      </c:barChart>
      <c:catAx>
        <c:axId val="15220618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2063880"/>
        <c:crosses val="autoZero"/>
        <c:auto val="1"/>
        <c:lblAlgn val="ctr"/>
        <c:lblOffset val="100"/>
        <c:noMultiLvlLbl val="0"/>
      </c:catAx>
      <c:valAx>
        <c:axId val="152206388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percentage(%)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206183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Capital Adequacy (CRAR) — Q1 FY27</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Summary!$D$3</c:f>
              <c:strCache>
                <c:ptCount val="1"/>
                <c:pt idx="0">
                  <c:v>CRAR (%)</c:v>
                </c:pt>
              </c:strCache>
            </c:strRef>
          </c:tx>
          <c:spPr>
            <a:solidFill>
              <a:schemeClr val="accent1"/>
            </a:solidFill>
            <a:ln>
              <a:noFill/>
            </a:ln>
            <a:effectLst/>
          </c:spPr>
          <c:invertIfNegative val="0"/>
          <c:cat>
            <c:strRef>
              <c:f>Summary!$A$4:$A$7</c:f>
              <c:strCache>
                <c:ptCount val="4"/>
                <c:pt idx="0">
                  <c:v>Bajaj Finance</c:v>
                </c:pt>
                <c:pt idx="1">
                  <c:v>Cholamandalam Finance</c:v>
                </c:pt>
                <c:pt idx="2">
                  <c:v>Shriram Finance</c:v>
                </c:pt>
                <c:pt idx="3">
                  <c:v>Muthoot Finance</c:v>
                </c:pt>
              </c:strCache>
            </c:strRef>
          </c:cat>
          <c:val>
            <c:numRef>
              <c:f>Summary!$D$4:$D$7</c:f>
              <c:numCache>
                <c:formatCode>0.00%</c:formatCode>
                <c:ptCount val="4"/>
                <c:pt idx="0">
                  <c:v>0.20899999999999999</c:v>
                </c:pt>
                <c:pt idx="1">
                  <c:v>0.1981</c:v>
                </c:pt>
                <c:pt idx="2">
                  <c:v>0.3417</c:v>
                </c:pt>
                <c:pt idx="3">
                  <c:v>0.20300000000000001</c:v>
                </c:pt>
              </c:numCache>
            </c:numRef>
          </c:val>
          <c:extLst>
            <c:ext xmlns:c16="http://schemas.microsoft.com/office/drawing/2014/chart" uri="{C3380CC4-5D6E-409C-BE32-E72D297353CC}">
              <c16:uniqueId val="{00000003-6AB9-46D7-854D-5C2B454523FB}"/>
            </c:ext>
          </c:extLst>
        </c:ser>
        <c:dLbls>
          <c:showLegendKey val="0"/>
          <c:showVal val="0"/>
          <c:showCatName val="0"/>
          <c:showSerName val="0"/>
          <c:showPercent val="0"/>
          <c:showBubbleSize val="0"/>
        </c:dLbls>
        <c:gapWidth val="219"/>
        <c:overlap val="-27"/>
        <c:axId val="1713421832"/>
        <c:axId val="1713432072"/>
      </c:barChart>
      <c:catAx>
        <c:axId val="17134218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3432072"/>
        <c:crosses val="autoZero"/>
        <c:auto val="1"/>
        <c:lblAlgn val="ctr"/>
        <c:lblOffset val="100"/>
        <c:noMultiLvlLbl val="0"/>
      </c:catAx>
      <c:valAx>
        <c:axId val="171343207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CRAR(%)</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342183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Reported Cost of Funds — Q1 FY27</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chart_data!$B$1</c:f>
              <c:strCache>
                <c:ptCount val="1"/>
                <c:pt idx="0">
                  <c:v>Cost of Funds (%)</c:v>
                </c:pt>
              </c:strCache>
            </c:strRef>
          </c:tx>
          <c:spPr>
            <a:solidFill>
              <a:schemeClr val="accent1"/>
            </a:solidFill>
            <a:ln>
              <a:noFill/>
            </a:ln>
            <a:effectLst/>
          </c:spPr>
          <c:invertIfNegative val="0"/>
          <c:cat>
            <c:strRef>
              <c:f>chart_data!$A$2:$A$4</c:f>
              <c:strCache>
                <c:ptCount val="3"/>
                <c:pt idx="0">
                  <c:v>Bajaj Finance</c:v>
                </c:pt>
                <c:pt idx="1">
                  <c:v>Cholamandalam Finance</c:v>
                </c:pt>
                <c:pt idx="2">
                  <c:v>Five-Star Business Finance</c:v>
                </c:pt>
              </c:strCache>
            </c:strRef>
          </c:cat>
          <c:val>
            <c:numRef>
              <c:f>chart_data!$B$2:$B$4</c:f>
              <c:numCache>
                <c:formatCode>0.00%</c:formatCode>
                <c:ptCount val="3"/>
                <c:pt idx="0">
                  <c:v>7.3999999999999996E-2</c:v>
                </c:pt>
                <c:pt idx="1">
                  <c:v>6.7000000000000004E-2</c:v>
                </c:pt>
                <c:pt idx="2">
                  <c:v>8.7999999999999995E-2</c:v>
                </c:pt>
              </c:numCache>
            </c:numRef>
          </c:val>
          <c:extLst>
            <c:ext xmlns:c16="http://schemas.microsoft.com/office/drawing/2014/chart" uri="{C3380CC4-5D6E-409C-BE32-E72D297353CC}">
              <c16:uniqueId val="{00000000-612E-429A-BCDF-B5E43F85E893}"/>
            </c:ext>
          </c:extLst>
        </c:ser>
        <c:dLbls>
          <c:showLegendKey val="0"/>
          <c:showVal val="0"/>
          <c:showCatName val="0"/>
          <c:showSerName val="0"/>
          <c:showPercent val="0"/>
          <c:showBubbleSize val="0"/>
        </c:dLbls>
        <c:gapWidth val="219"/>
        <c:overlap val="-27"/>
        <c:axId val="1713073672"/>
        <c:axId val="1713109512"/>
      </c:barChart>
      <c:catAx>
        <c:axId val="17130736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3109512"/>
        <c:crosses val="autoZero"/>
        <c:auto val="1"/>
        <c:lblAlgn val="ctr"/>
        <c:lblOffset val="100"/>
        <c:noMultiLvlLbl val="0"/>
      </c:catAx>
      <c:valAx>
        <c:axId val="171310951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Cost of Funds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307367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Reported AUM Growth - Q1 FY27</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Summary!$E$3</c:f>
              <c:strCache>
                <c:ptCount val="1"/>
                <c:pt idx="0">
                  <c:v>AUM Growth (%)</c:v>
                </c:pt>
              </c:strCache>
            </c:strRef>
          </c:tx>
          <c:spPr>
            <a:solidFill>
              <a:schemeClr val="accent1"/>
            </a:solidFill>
            <a:ln>
              <a:noFill/>
            </a:ln>
            <a:effectLst/>
          </c:spPr>
          <c:invertIfNegative val="0"/>
          <c:cat>
            <c:strRef>
              <c:f>Summary!$A$4:$A$8</c:f>
              <c:strCache>
                <c:ptCount val="5"/>
                <c:pt idx="0">
                  <c:v>Bajaj Finance</c:v>
                </c:pt>
                <c:pt idx="1">
                  <c:v>Cholamandalam Finance</c:v>
                </c:pt>
                <c:pt idx="2">
                  <c:v>Shriram Finance</c:v>
                </c:pt>
                <c:pt idx="3">
                  <c:v>Muthoot Finance</c:v>
                </c:pt>
                <c:pt idx="4">
                  <c:v>Five-Star Business Finance</c:v>
                </c:pt>
              </c:strCache>
            </c:strRef>
          </c:cat>
          <c:val>
            <c:numRef>
              <c:f>Summary!$E$4:$E$8</c:f>
              <c:numCache>
                <c:formatCode>0.00%</c:formatCode>
                <c:ptCount val="5"/>
                <c:pt idx="0">
                  <c:v>0.24</c:v>
                </c:pt>
                <c:pt idx="1">
                  <c:v>0.22</c:v>
                </c:pt>
                <c:pt idx="2">
                  <c:v>0.15260000000000001</c:v>
                </c:pt>
                <c:pt idx="3">
                  <c:v>0.43</c:v>
                </c:pt>
                <c:pt idx="4">
                  <c:v>0.04</c:v>
                </c:pt>
              </c:numCache>
            </c:numRef>
          </c:val>
          <c:extLst>
            <c:ext xmlns:c16="http://schemas.microsoft.com/office/drawing/2014/chart" uri="{C3380CC4-5D6E-409C-BE32-E72D297353CC}">
              <c16:uniqueId val="{00000003-3344-4A6A-BE7B-366D823C28B9}"/>
            </c:ext>
          </c:extLst>
        </c:ser>
        <c:dLbls>
          <c:showLegendKey val="0"/>
          <c:showVal val="0"/>
          <c:showCatName val="0"/>
          <c:showSerName val="0"/>
          <c:showPercent val="0"/>
          <c:showBubbleSize val="0"/>
        </c:dLbls>
        <c:gapWidth val="219"/>
        <c:overlap val="-27"/>
        <c:axId val="1712133640"/>
        <c:axId val="1712267272"/>
      </c:barChart>
      <c:catAx>
        <c:axId val="17121336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2267272"/>
        <c:crosses val="autoZero"/>
        <c:auto val="1"/>
        <c:lblAlgn val="ctr"/>
        <c:lblOffset val="100"/>
        <c:noMultiLvlLbl val="0"/>
      </c:catAx>
      <c:valAx>
        <c:axId val="171226727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AUM Growth(%)</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213364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12</xdr:row>
      <xdr:rowOff>161925</xdr:rowOff>
    </xdr:from>
    <xdr:to>
      <xdr:col>2</xdr:col>
      <xdr:colOff>1676400</xdr:colOff>
      <xdr:row>27</xdr:row>
      <xdr:rowOff>47625</xdr:rowOff>
    </xdr:to>
    <xdr:graphicFrame macro="">
      <xdr:nvGraphicFramePr>
        <xdr:cNvPr id="2" name="Chart 1">
          <a:extLst>
            <a:ext uri="{FF2B5EF4-FFF2-40B4-BE49-F238E27FC236}">
              <a16:creationId xmlns:a16="http://schemas.microsoft.com/office/drawing/2014/main" id="{F4633760-5A9F-0FCF-30FE-955A835817D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2152650</xdr:colOff>
      <xdr:row>12</xdr:row>
      <xdr:rowOff>152400</xdr:rowOff>
    </xdr:from>
    <xdr:to>
      <xdr:col>7</xdr:col>
      <xdr:colOff>0</xdr:colOff>
      <xdr:row>26</xdr:row>
      <xdr:rowOff>171450</xdr:rowOff>
    </xdr:to>
    <xdr:graphicFrame macro="">
      <xdr:nvGraphicFramePr>
        <xdr:cNvPr id="19" name="Chart 18">
          <a:extLst>
            <a:ext uri="{FF2B5EF4-FFF2-40B4-BE49-F238E27FC236}">
              <a16:creationId xmlns:a16="http://schemas.microsoft.com/office/drawing/2014/main" id="{7111990B-9134-DDD3-5066-3875C12F2CDA}"/>
            </a:ext>
            <a:ext uri="{147F2762-F138-4A5C-976F-8EAC2B608ADB}">
              <a16:predDERef xmlns:a16="http://schemas.microsoft.com/office/drawing/2014/main" pred="{F4633760-5A9F-0FCF-30FE-955A835817D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2152650</xdr:colOff>
      <xdr:row>31</xdr:row>
      <xdr:rowOff>161925</xdr:rowOff>
    </xdr:from>
    <xdr:to>
      <xdr:col>7</xdr:col>
      <xdr:colOff>0</xdr:colOff>
      <xdr:row>46</xdr:row>
      <xdr:rowOff>152400</xdr:rowOff>
    </xdr:to>
    <xdr:graphicFrame macro="">
      <xdr:nvGraphicFramePr>
        <xdr:cNvPr id="27" name="Chart 26">
          <a:extLst>
            <a:ext uri="{FF2B5EF4-FFF2-40B4-BE49-F238E27FC236}">
              <a16:creationId xmlns:a16="http://schemas.microsoft.com/office/drawing/2014/main" id="{F29F9E82-8A81-EF7A-9152-CDFE5C641057}"/>
            </a:ext>
            <a:ext uri="{147F2762-F138-4A5C-976F-8EAC2B608ADB}">
              <a16:predDERef xmlns:a16="http://schemas.microsoft.com/office/drawing/2014/main" pred="{7111990B-9134-DDD3-5066-3875C12F2CD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31</xdr:row>
      <xdr:rowOff>152400</xdr:rowOff>
    </xdr:from>
    <xdr:to>
      <xdr:col>2</xdr:col>
      <xdr:colOff>1790700</xdr:colOff>
      <xdr:row>46</xdr:row>
      <xdr:rowOff>161925</xdr:rowOff>
    </xdr:to>
    <xdr:graphicFrame macro="">
      <xdr:nvGraphicFramePr>
        <xdr:cNvPr id="29" name="Chart 28">
          <a:extLst>
            <a:ext uri="{FF2B5EF4-FFF2-40B4-BE49-F238E27FC236}">
              <a16:creationId xmlns:a16="http://schemas.microsoft.com/office/drawing/2014/main" id="{8861FBAB-4BDF-786F-05E6-429651E78666}"/>
            </a:ext>
            <a:ext uri="{147F2762-F138-4A5C-976F-8EAC2B608ADB}">
              <a16:predDERef xmlns:a16="http://schemas.microsoft.com/office/drawing/2014/main" pred="{F29F9E82-8A81-EF7A-9152-CDFE5C64105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ACD2775-DF4C-4CA5-96BA-15F89E39F87D}" name="Table1" displayName="Table1" ref="A1:I6" totalsRowShown="0" headerRowDxfId="14">
  <autoFilter ref="A1:I6" xr:uid="{BACD2775-DF4C-4CA5-96BA-15F89E39F87D}"/>
  <tableColumns count="9">
    <tableColumn id="1" xr3:uid="{261A3863-C6C0-43A8-AF68-284C2C2924B0}" name="Company"/>
    <tableColumn id="2" xr3:uid="{1A6651AE-2FD4-4FD2-AC0D-ECEEE67DBC99}" name="Quarter"/>
    <tableColumn id="3" xr3:uid="{EBFA1952-259A-40B3-97FC-B03A50C706AB}" name="GNPA %" dataDxfId="13"/>
    <tableColumn id="4" xr3:uid="{79632DBE-B3B9-488C-9A31-B45BA90DDF4C}" name="NNPA %" dataDxfId="12"/>
    <tableColumn id="5" xr3:uid="{26F14B83-DC93-4264-9403-CE6195CF906C}" name="CRAR %" dataDxfId="11"/>
    <tableColumn id="6" xr3:uid="{25BF6E2E-C74D-455E-BB7E-80FD217A3D2C}" name="AUM Growth %" dataDxfId="10"/>
    <tableColumn id="7" xr3:uid="{B3A941A5-911F-418F-BE4A-024332FAE8CD}" name="ROA %" dataDxfId="9"/>
    <tableColumn id="8" xr3:uid="{A890DBB6-E1CD-4942-9757-9811D6AF73F7}" name="Cost of Funds %" dataDxfId="8"/>
    <tableColumn id="9" xr3:uid="{51819E2B-8578-4994-B93F-8F4990B8434C}" name="Source" dataDxfId="7"/>
  </tableColumns>
  <tableStyleInfo name="TableStyleMedium3"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2135A440-80DD-4C75-BC72-5AE43775CA69}" name="Table4" displayName="Table4" ref="A3:G8" totalsRowShown="0" headerRowDxfId="6">
  <autoFilter ref="A3:G8" xr:uid="{2135A440-80DD-4C75-BC72-5AE43775CA69}"/>
  <tableColumns count="7">
    <tableColumn id="1" xr3:uid="{230A16C8-B5AC-4189-A4E6-EF01514A6464}" name="Company">
      <calculatedColumnFormula>Clean_data!A2</calculatedColumnFormula>
    </tableColumn>
    <tableColumn id="2" xr3:uid="{E9FF4EF4-F5FA-4BEF-8084-B9AA7BCAF020}" name="GNPA / Stage 3 (%)" dataDxfId="5">
      <calculatedColumnFormula>Clean_data!C2</calculatedColumnFormula>
    </tableColumn>
    <tableColumn id="3" xr3:uid="{698FD12C-6983-4A3E-AA48-DC8A3974C382}" name="NNPA / Net Stage 3 (%)" dataDxfId="4">
      <calculatedColumnFormula>IF(Clean_data!D2="","",Clean_data!D2)</calculatedColumnFormula>
    </tableColumn>
    <tableColumn id="4" xr3:uid="{71BA0BCA-D7DC-403D-BB35-970502D61193}" name="CRAR (%)" dataDxfId="3">
      <calculatedColumnFormula>IF(Clean_data!E2="","",Clean_data!E2)</calculatedColumnFormula>
    </tableColumn>
    <tableColumn id="5" xr3:uid="{49771B77-27EA-4717-A0D6-5569555F3A93}" name="AUM Growth (%)" dataDxfId="2">
      <calculatedColumnFormula>IF(Clean_data!F2="","",Clean_data!F2)</calculatedColumnFormula>
    </tableColumn>
    <tableColumn id="6" xr3:uid="{2D866550-0B90-4B9E-A0F2-304F43991380}" name="ROA (%)" dataDxfId="1">
      <calculatedColumnFormula>IF(Clean_data!G2="","",Clean_data!G2)</calculatedColumnFormula>
    </tableColumn>
    <tableColumn id="7" xr3:uid="{6C216EDE-B367-44EB-9C3C-E7D780AD1F85}" name="Cost of Funds (%)" dataDxfId="0">
      <calculatedColumnFormula>IF(Clean_data!H2="","",Clean_data!H2)</calculatedColumnFormula>
    </tableColumn>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6"/>
  <sheetViews>
    <sheetView workbookViewId="0">
      <selection activeCell="F2" sqref="F2:F6"/>
    </sheetView>
  </sheetViews>
  <sheetFormatPr defaultRowHeight="15"/>
  <cols>
    <col min="1" max="1" width="24.42578125" bestFit="1" customWidth="1"/>
    <col min="2" max="2" width="10.42578125" bestFit="1" customWidth="1"/>
    <col min="3" max="4" width="10.7109375" bestFit="1" customWidth="1"/>
    <col min="5" max="5" width="10.28515625" bestFit="1" customWidth="1"/>
    <col min="6" max="6" width="17.42578125" bestFit="1" customWidth="1"/>
    <col min="7" max="7" width="9.42578125" bestFit="1" customWidth="1"/>
    <col min="8" max="8" width="17.5703125" bestFit="1" customWidth="1"/>
    <col min="9" max="9" width="255.7109375" bestFit="1" customWidth="1"/>
  </cols>
  <sheetData>
    <row r="1" spans="1:9">
      <c r="A1" s="1" t="s">
        <v>0</v>
      </c>
      <c r="B1" s="1" t="s">
        <v>1</v>
      </c>
      <c r="C1" s="1" t="s">
        <v>2</v>
      </c>
      <c r="D1" s="1" t="s">
        <v>3</v>
      </c>
      <c r="E1" s="1" t="s">
        <v>4</v>
      </c>
      <c r="F1" s="1" t="s">
        <v>5</v>
      </c>
      <c r="G1" s="1" t="s">
        <v>6</v>
      </c>
      <c r="H1" s="1" t="s">
        <v>7</v>
      </c>
      <c r="I1" s="1" t="s">
        <v>8</v>
      </c>
    </row>
    <row r="2" spans="1:9">
      <c r="A2" t="s">
        <v>9</v>
      </c>
      <c r="B2" t="s">
        <v>10</v>
      </c>
      <c r="C2" s="2">
        <v>9.5999999999999992E-3</v>
      </c>
      <c r="D2" s="2">
        <v>3.8999999999999998E-3</v>
      </c>
      <c r="E2" s="2">
        <v>0.20899999999999999</v>
      </c>
      <c r="F2" s="2">
        <v>0.24</v>
      </c>
      <c r="G2" s="2">
        <v>4.7E-2</v>
      </c>
      <c r="H2" s="2">
        <v>7.3999999999999996E-2</v>
      </c>
      <c r="I2" t="s">
        <v>11</v>
      </c>
    </row>
    <row r="3" spans="1:9">
      <c r="A3" t="s">
        <v>12</v>
      </c>
      <c r="B3" t="s">
        <v>10</v>
      </c>
      <c r="C3" s="2">
        <v>4.4999999999999998E-2</v>
      </c>
      <c r="D3" s="2">
        <v>2.9499999999999998E-2</v>
      </c>
      <c r="E3" s="2">
        <v>0.1981</v>
      </c>
      <c r="F3" s="2">
        <v>0.22</v>
      </c>
      <c r="G3" s="2">
        <v>3.6999999999999998E-2</v>
      </c>
      <c r="H3" s="2">
        <v>6.7000000000000004E-2</v>
      </c>
      <c r="I3" t="s">
        <v>13</v>
      </c>
    </row>
    <row r="4" spans="1:9">
      <c r="A4" t="s">
        <v>14</v>
      </c>
      <c r="B4" t="s">
        <v>10</v>
      </c>
      <c r="C4" s="2">
        <v>4.6399999999999997E-2</v>
      </c>
      <c r="D4" s="2">
        <v>2.3300000000000001E-2</v>
      </c>
      <c r="E4" s="2">
        <v>0.3417</v>
      </c>
      <c r="F4" s="2">
        <v>0.15260000000000001</v>
      </c>
      <c r="G4" s="2">
        <v>3.9300000000000002E-2</v>
      </c>
      <c r="I4" s="3" t="s">
        <v>15</v>
      </c>
    </row>
    <row r="5" spans="1:9">
      <c r="A5" t="s">
        <v>16</v>
      </c>
      <c r="B5" t="s">
        <v>10</v>
      </c>
      <c r="C5" s="2">
        <v>2.2800000000000001E-2</v>
      </c>
      <c r="E5" s="2">
        <v>0.20300000000000001</v>
      </c>
      <c r="F5" s="2">
        <v>0.43</v>
      </c>
      <c r="I5" s="3" t="s">
        <v>17</v>
      </c>
    </row>
    <row r="6" spans="1:9" ht="14.25" customHeight="1">
      <c r="A6" t="s">
        <v>18</v>
      </c>
      <c r="B6" t="s">
        <v>10</v>
      </c>
      <c r="C6" s="2">
        <v>3.4599999999999999E-2</v>
      </c>
      <c r="D6" s="2">
        <v>2.1000000000000001E-2</v>
      </c>
      <c r="F6" s="2">
        <v>0.04</v>
      </c>
      <c r="H6" s="2">
        <v>8.7999999999999995E-2</v>
      </c>
      <c r="I6" s="3" t="s">
        <v>19</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860227-BA63-4EC3-9AF2-BDAC40915682}">
  <dimension ref="A1:I6"/>
  <sheetViews>
    <sheetView workbookViewId="0">
      <selection activeCell="F2" sqref="F2"/>
    </sheetView>
  </sheetViews>
  <sheetFormatPr defaultRowHeight="15"/>
  <cols>
    <col min="1" max="1" width="24.42578125" bestFit="1" customWidth="1"/>
    <col min="6" max="6" width="15.140625" bestFit="1" customWidth="1"/>
    <col min="8" max="8" width="15.28515625" bestFit="1" customWidth="1"/>
    <col min="9" max="9" width="101.7109375" bestFit="1" customWidth="1"/>
  </cols>
  <sheetData>
    <row r="1" spans="1:9">
      <c r="A1" s="1" t="s">
        <v>0</v>
      </c>
      <c r="B1" s="4" t="s">
        <v>1</v>
      </c>
      <c r="C1" s="1" t="s">
        <v>2</v>
      </c>
      <c r="D1" s="1" t="s">
        <v>3</v>
      </c>
      <c r="E1" s="1" t="s">
        <v>4</v>
      </c>
      <c r="F1" s="1" t="s">
        <v>5</v>
      </c>
      <c r="G1" s="1" t="s">
        <v>6</v>
      </c>
      <c r="H1" s="1" t="s">
        <v>7</v>
      </c>
      <c r="I1" s="1" t="s">
        <v>20</v>
      </c>
    </row>
    <row r="2" spans="1:9">
      <c r="A2" s="5" t="s">
        <v>9</v>
      </c>
      <c r="B2" s="6" t="s">
        <v>10</v>
      </c>
      <c r="C2" s="7">
        <v>9.5999999999999992E-3</v>
      </c>
      <c r="D2" s="7">
        <v>3.8999999999999998E-3</v>
      </c>
      <c r="E2" s="7">
        <v>0.20899999999999999</v>
      </c>
      <c r="F2" s="8">
        <v>0.24</v>
      </c>
      <c r="G2" s="7">
        <v>4.7E-2</v>
      </c>
      <c r="H2" s="7">
        <v>7.3999999999999996E-2</v>
      </c>
      <c r="I2" t="s">
        <v>21</v>
      </c>
    </row>
    <row r="3" spans="1:9">
      <c r="A3" s="9" t="s">
        <v>12</v>
      </c>
      <c r="B3" s="10" t="s">
        <v>10</v>
      </c>
      <c r="C3" s="11">
        <v>4.4999999999999998E-2</v>
      </c>
      <c r="D3" s="11">
        <v>2.9499999999999998E-2</v>
      </c>
      <c r="E3" s="11">
        <v>0.1981</v>
      </c>
      <c r="F3" s="12">
        <v>0.22</v>
      </c>
      <c r="G3" s="11">
        <v>3.6999999999999998E-2</v>
      </c>
      <c r="H3" s="11">
        <v>6.7000000000000004E-2</v>
      </c>
      <c r="I3" t="s">
        <v>22</v>
      </c>
    </row>
    <row r="4" spans="1:9">
      <c r="A4" s="5" t="s">
        <v>14</v>
      </c>
      <c r="B4" s="6" t="s">
        <v>10</v>
      </c>
      <c r="C4" s="7">
        <v>4.6399999999999997E-2</v>
      </c>
      <c r="D4" s="7">
        <v>2.3300000000000001E-2</v>
      </c>
      <c r="E4" s="7">
        <v>0.3417</v>
      </c>
      <c r="F4" s="7">
        <v>0.15260000000000001</v>
      </c>
      <c r="G4" s="7">
        <v>3.9300000000000002E-2</v>
      </c>
      <c r="H4" s="6"/>
      <c r="I4" t="s">
        <v>23</v>
      </c>
    </row>
    <row r="5" spans="1:9">
      <c r="A5" s="9" t="s">
        <v>16</v>
      </c>
      <c r="B5" s="10" t="s">
        <v>10</v>
      </c>
      <c r="C5" s="11">
        <v>2.2800000000000001E-2</v>
      </c>
      <c r="D5" s="10"/>
      <c r="E5" s="11">
        <v>0.20300000000000001</v>
      </c>
      <c r="F5" s="12">
        <v>0.43</v>
      </c>
      <c r="G5" s="10"/>
      <c r="H5" s="10"/>
      <c r="I5" t="s">
        <v>24</v>
      </c>
    </row>
    <row r="6" spans="1:9">
      <c r="A6" s="5" t="s">
        <v>18</v>
      </c>
      <c r="B6" s="6" t="s">
        <v>10</v>
      </c>
      <c r="C6" s="7">
        <v>3.4599999999999999E-2</v>
      </c>
      <c r="D6" s="7">
        <v>2.1000000000000001E-2</v>
      </c>
      <c r="E6" s="6"/>
      <c r="F6" s="8">
        <v>0.04</v>
      </c>
      <c r="G6" s="6"/>
      <c r="H6" s="7">
        <v>8.7999999999999995E-2</v>
      </c>
      <c r="I6" t="s">
        <v>25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4F20ED-E697-4D9D-9D20-A6A0B9840E29}">
  <dimension ref="A1:K71"/>
  <sheetViews>
    <sheetView tabSelected="1" topLeftCell="A56" workbookViewId="0">
      <selection activeCell="F75" sqref="F75"/>
    </sheetView>
  </sheetViews>
  <sheetFormatPr defaultRowHeight="15"/>
  <cols>
    <col min="1" max="1" width="24.42578125" bestFit="1" customWidth="1"/>
    <col min="2" max="2" width="27.5703125" bestFit="1" customWidth="1"/>
    <col min="3" max="3" width="33" bestFit="1" customWidth="1"/>
    <col min="4" max="4" width="15.28515625" bestFit="1" customWidth="1"/>
    <col min="5" max="5" width="25.140625" bestFit="1" customWidth="1"/>
    <col min="6" max="6" width="14" bestFit="1" customWidth="1"/>
    <col min="7" max="7" width="25.28515625" bestFit="1" customWidth="1"/>
    <col min="10" max="10" width="24.42578125" bestFit="1" customWidth="1"/>
    <col min="11" max="11" width="16.42578125" bestFit="1" customWidth="1"/>
    <col min="13" max="13" width="24.42578125" bestFit="1" customWidth="1"/>
  </cols>
  <sheetData>
    <row r="1" spans="1:11" ht="26.25">
      <c r="A1" s="19" t="s">
        <v>26</v>
      </c>
      <c r="B1" s="19"/>
      <c r="C1" s="19"/>
      <c r="D1" s="19"/>
      <c r="E1" s="19"/>
      <c r="F1" s="19"/>
      <c r="G1" s="19"/>
    </row>
    <row r="3" spans="1:11" ht="21">
      <c r="A3" s="13" t="s">
        <v>0</v>
      </c>
      <c r="B3" s="13" t="s">
        <v>27</v>
      </c>
      <c r="C3" s="15" t="s">
        <v>28</v>
      </c>
      <c r="D3" s="13" t="s">
        <v>29</v>
      </c>
      <c r="E3" s="13" t="s">
        <v>30</v>
      </c>
      <c r="F3" s="13" t="s">
        <v>31</v>
      </c>
      <c r="G3" s="13" t="s">
        <v>32</v>
      </c>
    </row>
    <row r="4" spans="1:11">
      <c r="A4" t="str">
        <f>Clean_data!A2</f>
        <v>Bajaj Finance</v>
      </c>
      <c r="B4" s="2">
        <f>Clean_data!C2</f>
        <v>9.5999999999999992E-3</v>
      </c>
      <c r="C4" s="2">
        <f>IF(Clean_data!D2="","",Clean_data!D2)</f>
        <v>3.8999999999999998E-3</v>
      </c>
      <c r="D4" s="2">
        <f>IF(Clean_data!E2="","",Clean_data!E2)</f>
        <v>0.20899999999999999</v>
      </c>
      <c r="E4" s="2">
        <f>IF(Clean_data!F2="","",Clean_data!F2)</f>
        <v>0.24</v>
      </c>
      <c r="F4" s="14">
        <f>IF(Clean_data!G2="","",Clean_data!G2)</f>
        <v>4.7E-2</v>
      </c>
      <c r="G4" s="14">
        <f>IF(Clean_data!H2="","",Clean_data!H2)</f>
        <v>7.3999999999999996E-2</v>
      </c>
    </row>
    <row r="5" spans="1:11">
      <c r="A5" t="str">
        <f>Clean_data!A3</f>
        <v>Cholamandalam Finance</v>
      </c>
      <c r="B5" s="2">
        <f>Clean_data!C3</f>
        <v>4.4999999999999998E-2</v>
      </c>
      <c r="C5" s="2">
        <f>IF(Clean_data!D3="","",Clean_data!D3)</f>
        <v>2.9499999999999998E-2</v>
      </c>
      <c r="D5" s="2">
        <f>IF(Clean_data!E3="","",Clean_data!E3)</f>
        <v>0.1981</v>
      </c>
      <c r="E5" s="2">
        <f>IF(Clean_data!F3="","",Clean_data!F3)</f>
        <v>0.22</v>
      </c>
      <c r="F5" s="14">
        <f>IF(Clean_data!G3="","",Clean_data!G3)</f>
        <v>3.6999999999999998E-2</v>
      </c>
      <c r="G5" s="14">
        <f>IF(Clean_data!H3="","",Clean_data!H3)</f>
        <v>6.7000000000000004E-2</v>
      </c>
    </row>
    <row r="6" spans="1:11">
      <c r="A6" t="str">
        <f>Clean_data!A4</f>
        <v>Shriram Finance</v>
      </c>
      <c r="B6" s="2">
        <f>Clean_data!C4</f>
        <v>4.6399999999999997E-2</v>
      </c>
      <c r="C6" s="2">
        <f>IF(Clean_data!D4="","",Clean_data!D4)</f>
        <v>2.3300000000000001E-2</v>
      </c>
      <c r="D6" s="2">
        <f>IF(Clean_data!E4="","",Clean_data!E4)</f>
        <v>0.3417</v>
      </c>
      <c r="E6" s="2">
        <f>IF(Clean_data!F4="","",Clean_data!F4)</f>
        <v>0.15260000000000001</v>
      </c>
      <c r="F6" s="14">
        <f>IF(Clean_data!G4="","",Clean_data!G4)</f>
        <v>3.9300000000000002E-2</v>
      </c>
      <c r="G6" s="14" t="str">
        <f>IF(Clean_data!H4="","",Clean_data!H4)</f>
        <v/>
      </c>
    </row>
    <row r="7" spans="1:11">
      <c r="A7" t="str">
        <f>Clean_data!A5</f>
        <v>Muthoot Finance</v>
      </c>
      <c r="B7" s="2">
        <f>Clean_data!C5</f>
        <v>2.2800000000000001E-2</v>
      </c>
      <c r="C7" s="2" t="str">
        <f>IF(Clean_data!D5="","",Clean_data!D5)</f>
        <v/>
      </c>
      <c r="D7" s="2">
        <f>IF(Clean_data!E5="","",Clean_data!E5)</f>
        <v>0.20300000000000001</v>
      </c>
      <c r="E7" s="2">
        <f>IF(Clean_data!F5="","",Clean_data!F5)</f>
        <v>0.43</v>
      </c>
      <c r="F7" s="14" t="str">
        <f>IF(Clean_data!G5="","",Clean_data!G5)</f>
        <v/>
      </c>
      <c r="G7" s="14" t="str">
        <f>IF(Clean_data!H5="","",Clean_data!H5)</f>
        <v/>
      </c>
      <c r="K7" s="2" t="str">
        <f>G7</f>
        <v/>
      </c>
    </row>
    <row r="8" spans="1:11">
      <c r="A8" t="str">
        <f>Clean_data!A6</f>
        <v>Five-Star Business Finance</v>
      </c>
      <c r="B8" s="2">
        <f>Clean_data!C6</f>
        <v>3.4599999999999999E-2</v>
      </c>
      <c r="C8" s="2">
        <f>IF(Clean_data!D6="","",Clean_data!D6)</f>
        <v>2.1000000000000001E-2</v>
      </c>
      <c r="D8" s="2"/>
      <c r="E8" s="2">
        <f>IF(Clean_data!F6="","",Clean_data!F6)</f>
        <v>0.04</v>
      </c>
      <c r="F8" s="14" t="str">
        <f>IF(Clean_data!G6="","",Clean_data!G6)</f>
        <v/>
      </c>
      <c r="G8" s="14">
        <f>IF(Clean_data!H6="","",Clean_data!H6)</f>
        <v>8.7999999999999995E-2</v>
      </c>
    </row>
    <row r="10" spans="1:11" ht="14.25" customHeight="1">
      <c r="A10" s="20" t="s">
        <v>33</v>
      </c>
      <c r="B10" s="20"/>
      <c r="C10" s="20"/>
      <c r="D10" s="20"/>
      <c r="E10" s="20"/>
      <c r="F10" s="20"/>
      <c r="G10" s="20"/>
      <c r="K10" s="2"/>
    </row>
    <row r="11" spans="1:11">
      <c r="A11" s="20"/>
      <c r="B11" s="20"/>
      <c r="C11" s="20"/>
      <c r="D11" s="20"/>
      <c r="E11" s="20"/>
      <c r="F11" s="20"/>
      <c r="G11" s="20"/>
      <c r="K11" s="2"/>
    </row>
    <row r="12" spans="1:11">
      <c r="K12" s="2"/>
    </row>
    <row r="13" spans="1:11">
      <c r="K13" s="2"/>
    </row>
    <row r="14" spans="1:11">
      <c r="K14" s="2"/>
    </row>
    <row r="28" spans="4:7">
      <c r="D28" s="21" t="s">
        <v>34</v>
      </c>
      <c r="E28" s="22"/>
      <c r="F28" s="22"/>
      <c r="G28" s="22"/>
    </row>
    <row r="29" spans="4:7">
      <c r="D29" s="22"/>
      <c r="E29" s="22"/>
      <c r="F29" s="22"/>
      <c r="G29" s="22"/>
    </row>
    <row r="48" spans="1:7" ht="15" customHeight="1">
      <c r="A48" s="17"/>
      <c r="B48" s="17"/>
      <c r="C48" s="17"/>
      <c r="D48" s="21" t="s">
        <v>35</v>
      </c>
      <c r="E48" s="21"/>
      <c r="F48" s="21"/>
      <c r="G48" s="21"/>
    </row>
    <row r="49" spans="1:7">
      <c r="A49" s="16"/>
      <c r="B49" s="16"/>
      <c r="C49" s="16"/>
      <c r="D49" s="21"/>
      <c r="E49" s="21"/>
      <c r="F49" s="21"/>
      <c r="G49" s="21"/>
    </row>
    <row r="52" spans="1:7" ht="18.75">
      <c r="A52" s="23" t="s">
        <v>36</v>
      </c>
    </row>
    <row r="53" spans="1:7">
      <c r="D53" s="16"/>
    </row>
    <row r="54" spans="1:7" ht="38.25" customHeight="1">
      <c r="A54" s="18" t="s">
        <v>37</v>
      </c>
      <c r="B54" s="24" t="s">
        <v>38</v>
      </c>
      <c r="C54" s="24"/>
      <c r="D54" s="24"/>
      <c r="E54" s="24"/>
      <c r="F54" s="24"/>
      <c r="G54" s="24"/>
    </row>
    <row r="55" spans="1:7" ht="37.5" customHeight="1">
      <c r="A55" s="18" t="s">
        <v>39</v>
      </c>
      <c r="B55" s="24" t="s">
        <v>40</v>
      </c>
      <c r="C55" s="24"/>
      <c r="D55" s="24"/>
      <c r="E55" s="24"/>
      <c r="F55" s="24"/>
      <c r="G55" s="24"/>
    </row>
    <row r="56" spans="1:7" ht="54.75" customHeight="1">
      <c r="A56" s="18" t="s">
        <v>41</v>
      </c>
      <c r="B56" s="24" t="s">
        <v>42</v>
      </c>
      <c r="C56" s="24"/>
      <c r="D56" s="24"/>
      <c r="E56" s="24"/>
      <c r="F56" s="24"/>
      <c r="G56" s="24"/>
    </row>
    <row r="57" spans="1:7" ht="48.75" customHeight="1">
      <c r="A57" s="18" t="s">
        <v>43</v>
      </c>
      <c r="B57" s="24" t="s">
        <v>44</v>
      </c>
      <c r="C57" s="24"/>
      <c r="D57" s="24"/>
      <c r="E57" s="24"/>
      <c r="F57" s="24"/>
      <c r="G57" s="24"/>
    </row>
    <row r="60" spans="1:7" ht="18.75">
      <c r="A60" s="25" t="s">
        <v>45</v>
      </c>
      <c r="B60" s="24" t="s">
        <v>46</v>
      </c>
      <c r="C60" s="24"/>
      <c r="D60" s="24"/>
      <c r="E60" s="24"/>
      <c r="F60" s="24"/>
      <c r="G60" s="24"/>
    </row>
    <row r="61" spans="1:7">
      <c r="B61" s="24"/>
      <c r="C61" s="24"/>
      <c r="D61" s="24"/>
      <c r="E61" s="24"/>
      <c r="F61" s="24"/>
      <c r="G61" s="24"/>
    </row>
    <row r="62" spans="1:7">
      <c r="B62" s="24"/>
      <c r="C62" s="24"/>
      <c r="D62" s="24"/>
      <c r="E62" s="24"/>
      <c r="F62" s="24"/>
      <c r="G62" s="24"/>
    </row>
    <row r="63" spans="1:7">
      <c r="B63" s="24"/>
      <c r="C63" s="24"/>
      <c r="D63" s="24"/>
      <c r="E63" s="24"/>
      <c r="F63" s="24"/>
      <c r="G63" s="24"/>
    </row>
    <row r="66" spans="1:7" ht="17.25">
      <c r="A66" s="26" t="s">
        <v>47</v>
      </c>
    </row>
    <row r="68" spans="1:7">
      <c r="A68" s="1" t="s">
        <v>8</v>
      </c>
      <c r="B68" s="24" t="s">
        <v>48</v>
      </c>
      <c r="C68" s="24"/>
      <c r="D68" s="24"/>
      <c r="E68" s="24"/>
      <c r="F68" s="24"/>
      <c r="G68" s="24"/>
    </row>
    <row r="69" spans="1:7">
      <c r="A69" s="1" t="s">
        <v>49</v>
      </c>
      <c r="B69" s="24" t="s">
        <v>50</v>
      </c>
      <c r="C69" s="24"/>
      <c r="D69" s="24"/>
      <c r="E69" s="24"/>
      <c r="F69" s="24"/>
      <c r="G69" s="24"/>
    </row>
    <row r="70" spans="1:7">
      <c r="A70" s="1" t="s">
        <v>51</v>
      </c>
      <c r="B70" s="24" t="s">
        <v>52</v>
      </c>
      <c r="C70" s="24"/>
      <c r="D70" s="24"/>
      <c r="E70" s="24"/>
      <c r="F70" s="24"/>
      <c r="G70" s="24"/>
    </row>
    <row r="71" spans="1:7">
      <c r="A71" s="1" t="s">
        <v>53</v>
      </c>
      <c r="B71" s="24" t="s">
        <v>54</v>
      </c>
      <c r="C71" s="24"/>
      <c r="D71" s="24"/>
      <c r="E71" s="24"/>
      <c r="F71" s="24"/>
      <c r="G71" s="24"/>
    </row>
  </sheetData>
  <mergeCells count="13">
    <mergeCell ref="B68:G68"/>
    <mergeCell ref="B69:G69"/>
    <mergeCell ref="B70:G70"/>
    <mergeCell ref="B71:G71"/>
    <mergeCell ref="B55:G55"/>
    <mergeCell ref="B56:G56"/>
    <mergeCell ref="B57:G57"/>
    <mergeCell ref="B54:G54"/>
    <mergeCell ref="B60:G63"/>
    <mergeCell ref="A1:G1"/>
    <mergeCell ref="A10:G11"/>
    <mergeCell ref="D48:G49"/>
    <mergeCell ref="D28:G29"/>
  </mergeCells>
  <pageMargins left="0.7" right="0.7" top="0.75" bottom="0.75" header="0.3" footer="0.3"/>
  <drawing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5F0F6F-A5BB-4A05-9984-598D8CF59849}">
  <dimension ref="A1:B4"/>
  <sheetViews>
    <sheetView workbookViewId="0">
      <selection activeCell="A2" sqref="A1:B4"/>
    </sheetView>
  </sheetViews>
  <sheetFormatPr defaultRowHeight="15"/>
  <cols>
    <col min="1" max="1" width="24.42578125" bestFit="1" customWidth="1"/>
    <col min="2" max="2" width="16.42578125" bestFit="1" customWidth="1"/>
  </cols>
  <sheetData>
    <row r="1" spans="1:2">
      <c r="A1" t="s">
        <v>55</v>
      </c>
      <c r="B1" t="s">
        <v>32</v>
      </c>
    </row>
    <row r="2" spans="1:2">
      <c r="A2" t="str">
        <f>Summary!A4</f>
        <v>Bajaj Finance</v>
      </c>
      <c r="B2" s="2">
        <f>Summary!G4</f>
        <v>7.3999999999999996E-2</v>
      </c>
    </row>
    <row r="3" spans="1:2">
      <c r="A3" t="str">
        <f>Summary!A5</f>
        <v>Cholamandalam Finance</v>
      </c>
      <c r="B3" s="2">
        <f>Summary!G5</f>
        <v>6.7000000000000004E-2</v>
      </c>
    </row>
    <row r="4" spans="1:2">
      <c r="A4" t="str">
        <f>Summary!A8</f>
        <v>Five-Star Business Finance</v>
      </c>
      <c r="B4" s="2">
        <f>Summary!G8</f>
        <v>8.7999999999999995E-2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2026-10-23T13:52:40Z</dcterms:created>
  <dcterms:modified xsi:type="dcterms:W3CDTF">2026-10-25T03:00:46Z</dcterms:modified>
  <cp:category/>
  <cp:contentStatus/>
</cp:coreProperties>
</file>